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UDL/xUlppTX/WIYxg9K1MvnDoPRaJO1DoP8fSsU5Z88="/>
    </ext>
  </extLst>
</workbook>
</file>

<file path=xl/sharedStrings.xml><?xml version="1.0" encoding="utf-8"?>
<sst xmlns="http://schemas.openxmlformats.org/spreadsheetml/2006/main" count="175" uniqueCount="149">
  <si>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</si>
  <si>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</si>
  <si>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</si>
  <si>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</si>
  <si>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</si>
  <si>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</si>
  <si>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</si>
  <si>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</si>
  <si>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</si>
  <si>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</si>
  <si>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</si>
  <si>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</si>
  <si>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</si>
  <si>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</si>
  <si>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</si>
  <si>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</si>
  <si>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</si>
  <si>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</si>
  <si>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</si>
  <si>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</si>
  <si>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</si>
  <si>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</si>
  <si>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</si>
  <si>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</si>
  <si>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</si>
  <si>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</si>
  <si>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Prototipo</t>
  </si>
  <si>
    <t>Severidad
(0-4)</t>
  </si>
  <si>
    <t>Evidencia
(captura/URL)</t>
  </si>
  <si>
    <t>Recomendacion de mejora</t>
  </si>
  <si>
    <t>Evaluador</t>
  </si>
  <si>
    <t>H1 - Visibilidad del estado</t>
  </si>
  <si>
    <t>el login estaba segmentado en torre como si fuera un condominio pero al ser un solo edificio era totalmente opuesto a la realidad</t>
  </si>
  <si>
    <t>inicio de sesion (login)</t>
  </si>
  <si>
    <t>evidencia 1.png</t>
  </si>
  <si>
    <t xml:space="preserve">utilizar numeros compuestos por el numero del piso y el numero del orden del piso para el numero de los respectivos departamentos .                                         </t>
  </si>
  <si>
    <t xml:space="preserve">ignacio reyes </t>
  </si>
  <si>
    <t>H2 - Sistema y mundo real</t>
  </si>
  <si>
    <t xml:space="preserve">la funcion de pago era un ingreso directo y deberia redirigir a los servicios de web pay para mayor seguridad </t>
  </si>
  <si>
    <t xml:space="preserve">portal de pago </t>
  </si>
  <si>
    <t>evidencia 2.png</t>
  </si>
  <si>
    <t>hacer que la funcion de pagar sea redirigida a webpay para el mismo la procese</t>
  </si>
  <si>
    <t xml:space="preserve">al momento de ingresar los datos de la tarjeta funcionaba con cualquien dato que se ingresara y procesaba el pago </t>
  </si>
  <si>
    <t>evidencia 3.png</t>
  </si>
  <si>
    <t xml:space="preserve">agregar validaciones para los numeros de tarjeta, que la fecha de vencimiento no sea inferior a la fecha actual y que el cvv sea un numero valido </t>
  </si>
  <si>
    <t xml:space="preserve">joaquin </t>
  </si>
  <si>
    <t>H3 - Control y libertad</t>
  </si>
  <si>
    <t xml:space="preserve">segun el enunciado el administrador deberia poder agregar cobros especiales y estos deberian ser reflejados en los cobros del residente </t>
  </si>
  <si>
    <t>perfil administrador</t>
  </si>
  <si>
    <t>evidencia 4.png</t>
  </si>
  <si>
    <t xml:space="preserve">agregar la opcion del agregar un cobro especial  junto a su respectiva descripcion en el perfil del administrador </t>
  </si>
  <si>
    <t xml:space="preserve">francisco </t>
  </si>
  <si>
    <t xml:space="preserve">las alarmas de alerta al inicio saturan mucho el perfil de administrador </t>
  </si>
  <si>
    <t>evidencia 5.png</t>
  </si>
  <si>
    <t>crear una pestaña aparte dentro del perfil de administrador donde se pueda ver las alertas</t>
  </si>
  <si>
    <t>H8 - Diseno minimalista</t>
  </si>
  <si>
    <t xml:space="preserve">es dificil ver la forma de cancelar la transaccion </t>
  </si>
  <si>
    <t>portal de pago (web pay)</t>
  </si>
  <si>
    <t>evidencia 6.png</t>
  </si>
  <si>
    <t>cambiar el cancelar transaccion para que sea ams intuitiva</t>
  </si>
  <si>
    <t>H5 - Prevencion de errores</t>
  </si>
  <si>
    <t xml:space="preserve">te permite ingresar mas datos de los que poseen las tarjetas antes de rechazar la transaccion </t>
  </si>
  <si>
    <t>evidencia 7.png</t>
  </si>
  <si>
    <t>limitar los digitos que permita ingresar a 16 que es la cantidad de digitos que posee el numero de las tarjetas</t>
  </si>
  <si>
    <t>H6 - Reconocimiento &gt; recuerdo</t>
  </si>
  <si>
    <t xml:space="preserve">la opcion de pagos en cuotas es poco intuitiva </t>
  </si>
  <si>
    <t>evidencia 8.png</t>
  </si>
  <si>
    <t xml:space="preserve">colocar la opcion de pagos en cuotas de una forma mas clara </t>
  </si>
  <si>
    <t>H7 - Flexibilidad y eficiencia</t>
  </si>
  <si>
    <t>es tardado para los propietarios tener que pagar las cuentas de sus departamentos en caso que el propietario posea mas de un departamento</t>
  </si>
  <si>
    <t>evidencia 9.png</t>
  </si>
  <si>
    <t xml:space="preserve">generar un nuevo perfil que permita entrar como propietario </t>
  </si>
  <si>
    <t xml:space="preserve">deberia mostrar la deuda sin necesidad de ingresesar al respectivo departamento </t>
  </si>
  <si>
    <t xml:space="preserve">perfil propietario </t>
  </si>
  <si>
    <t xml:space="preserve">hacer que los departamentos posean una previsualizacion de la deuda </t>
  </si>
  <si>
    <t xml:space="preserve">los departamentos que no poseen deuda muestra su deuda lo que satura un poco </t>
  </si>
  <si>
    <t xml:space="preserve">hacer que los departamentos que no posean deudas muestre el mensaje al dia en un color diferente  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</si>
  <si>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</si>
  <si>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</si>
  <si>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</si>
  <si>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</si>
  <si>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</si>
  <si>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</si>
  <si>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</si>
  <si>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</si>
  <si>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</si>
  <si>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</si>
  <si>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</si>
  <si>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</si>
  <si>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</si>
  <si>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</si>
  <si>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H4 - Consistencia y estandares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</si>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</sst>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8" fillId="4" fontId="12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4" fontId="14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5" numFmtId="0" xfId="0" applyAlignment="1" applyBorder="1" applyFont="1">
      <alignment horizontal="center" readingOrder="0" shrinkToFit="0" vertical="center" wrapText="1"/>
    </xf>
    <xf borderId="8" fillId="6" fontId="16" numFmtId="164" xfId="0" applyAlignment="1" applyBorder="1" applyFont="1" applyNumberFormat="1">
      <alignment horizontal="center" readingOrder="0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5" numFmtId="0" xfId="0" applyAlignment="1" applyBorder="1" applyFont="1">
      <alignment horizontal="center" shrinkToFit="0" vertical="center" wrapText="1"/>
    </xf>
    <xf borderId="8" fillId="4" fontId="16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6" fontId="15" numFmtId="0" xfId="0" applyAlignment="1" applyBorder="1" applyFont="1">
      <alignment horizontal="center" shrinkToFit="0" vertical="center" wrapText="1"/>
    </xf>
    <xf borderId="8" fillId="6" fontId="16" numFmtId="164" xfId="0" applyAlignment="1" applyBorder="1" applyFont="1" applyNumberFormat="1">
      <alignment horizontal="center" shrinkToFit="0" vertical="center" wrapText="1"/>
    </xf>
    <xf borderId="8" fillId="4" fontId="15" numFmtId="0" xfId="0" applyAlignment="1" applyBorder="1" applyFont="1">
      <alignment horizontal="center" readingOrder="0" shrinkToFit="0" vertical="center" wrapText="1"/>
    </xf>
    <xf borderId="8" fillId="4" fontId="16" numFmtId="164" xfId="0" applyAlignment="1" applyBorder="1" applyFont="1" applyNumberFormat="1">
      <alignment horizontal="center" readingOrder="0" shrinkToFit="0" vertical="center" wrapText="1"/>
    </xf>
    <xf borderId="8" fillId="0" fontId="17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6AsBXwmuTK7FlvKMVozGawL7vDd84Re/view?usp=drive_link" TargetMode="External"/><Relationship Id="rId2" Type="http://schemas.openxmlformats.org/officeDocument/2006/relationships/hyperlink" Target="https://drive.google.com/file/d/10cSHaxDxFuxJr0uXKs92Cy1gvAsWmwUL/view?usp=sharing" TargetMode="External"/><Relationship Id="rId3" Type="http://schemas.openxmlformats.org/officeDocument/2006/relationships/hyperlink" Target="https://drive.google.com/file/d/1dL5F6uMVlECEZboH4tE1Gv-Y3EbQdRYW/view?usp=sharing" TargetMode="External"/><Relationship Id="rId4" Type="http://schemas.openxmlformats.org/officeDocument/2006/relationships/hyperlink" Target="https://drive.google.com/file/d/16hNzZA1oz6akmDtZHba1T8otUVFbvtJi/view?usp=sharing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rive.google.com/file/d/1Aj-SE8hA65109kzesklXXYCT9rrTAtXT/view?usp=drive_link" TargetMode="External"/><Relationship Id="rId5" Type="http://schemas.openxmlformats.org/officeDocument/2006/relationships/hyperlink" Target="https://drive.google.com/file/d/1fapycsV_-SSFkqr_mUTrBiYKqTWdWgM3/view?usp=drive_link" TargetMode="External"/><Relationship Id="rId6" Type="http://schemas.openxmlformats.org/officeDocument/2006/relationships/hyperlink" Target="https://drive.google.com/file/d/1PlRmRKKjFiEsPK3NZvIAbFVUJt4nx3o_/view?usp=drive_link" TargetMode="External"/><Relationship Id="rId7" Type="http://schemas.openxmlformats.org/officeDocument/2006/relationships/hyperlink" Target="https://drive.google.com/file/d/1qwpUZexOqvjZqkDfRcE78AX8EZD842gp/view?usp=drive_link" TargetMode="External"/><Relationship Id="rId8" Type="http://schemas.openxmlformats.org/officeDocument/2006/relationships/hyperlink" Target="https://drive.google.com/file/d/1lbzr4VnaR6abIfwsYruKMIGoqIJ72GHu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71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  <col customWidth="1" min="9" max="26" width="8.71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42.0" customHeight="1">
      <c r="A4" s="14">
        <v>1.0</v>
      </c>
      <c r="B4" s="15" t="s">
        <v>31</v>
      </c>
      <c r="C4" s="15" t="s">
        <v>32</v>
      </c>
      <c r="D4" s="15" t="s">
        <v>33</v>
      </c>
      <c r="E4" s="16">
        <v>3.0</v>
      </c>
      <c r="F4" s="17" t="s">
        <v>34</v>
      </c>
      <c r="G4" s="15" t="s">
        <v>35</v>
      </c>
      <c r="H4" s="15" t="s">
        <v>36</v>
      </c>
    </row>
    <row r="5" ht="42.0" customHeight="1">
      <c r="A5" s="18">
        <v>2.0</v>
      </c>
      <c r="B5" s="15" t="s">
        <v>37</v>
      </c>
      <c r="C5" s="19" t="s">
        <v>38</v>
      </c>
      <c r="D5" s="19" t="s">
        <v>39</v>
      </c>
      <c r="E5" s="20">
        <v>3.0</v>
      </c>
      <c r="F5" s="21" t="s">
        <v>40</v>
      </c>
      <c r="G5" s="19" t="s">
        <v>41</v>
      </c>
      <c r="H5" s="19" t="s">
        <v>36</v>
      </c>
    </row>
    <row r="6" ht="42.0" customHeight="1">
      <c r="A6" s="14">
        <v>3.0</v>
      </c>
      <c r="B6" s="15" t="s">
        <v>37</v>
      </c>
      <c r="C6" s="15" t="s">
        <v>42</v>
      </c>
      <c r="D6" s="15" t="s">
        <v>39</v>
      </c>
      <c r="E6" s="16">
        <v>4.0</v>
      </c>
      <c r="F6" s="17" t="s">
        <v>43</v>
      </c>
      <c r="G6" s="15" t="s">
        <v>44</v>
      </c>
      <c r="H6" s="15" t="s">
        <v>45</v>
      </c>
    </row>
    <row r="7" ht="42.0" customHeight="1">
      <c r="A7" s="18">
        <v>4.0</v>
      </c>
      <c r="B7" s="15" t="s">
        <v>46</v>
      </c>
      <c r="C7" s="19" t="s">
        <v>47</v>
      </c>
      <c r="D7" s="19" t="s">
        <v>48</v>
      </c>
      <c r="E7" s="20">
        <v>2.0</v>
      </c>
      <c r="F7" s="21" t="s">
        <v>49</v>
      </c>
      <c r="G7" s="19" t="s">
        <v>50</v>
      </c>
      <c r="H7" s="19" t="s">
        <v>51</v>
      </c>
    </row>
    <row r="8" ht="42.0" customHeight="1">
      <c r="A8" s="14">
        <v>5.0</v>
      </c>
      <c r="B8" s="15" t="s">
        <v>31</v>
      </c>
      <c r="C8" s="19" t="s">
        <v>52</v>
      </c>
      <c r="D8" s="15" t="s">
        <v>48</v>
      </c>
      <c r="E8" s="16">
        <v>2.0</v>
      </c>
      <c r="F8" s="17" t="s">
        <v>53</v>
      </c>
      <c r="G8" s="15" t="s">
        <v>54</v>
      </c>
      <c r="H8" s="15" t="s">
        <v>45</v>
      </c>
    </row>
    <row r="9" ht="42.0" customHeight="1">
      <c r="A9" s="18">
        <v>6.0</v>
      </c>
      <c r="B9" s="15" t="s">
        <v>55</v>
      </c>
      <c r="C9" s="19" t="s">
        <v>56</v>
      </c>
      <c r="D9" s="19" t="s">
        <v>57</v>
      </c>
      <c r="E9" s="20">
        <v>3.0</v>
      </c>
      <c r="F9" s="21" t="s">
        <v>58</v>
      </c>
      <c r="G9" s="19" t="s">
        <v>59</v>
      </c>
      <c r="H9" s="19" t="s">
        <v>45</v>
      </c>
    </row>
    <row r="10" ht="42.0" customHeight="1">
      <c r="A10" s="14">
        <v>7.0</v>
      </c>
      <c r="B10" s="15" t="s">
        <v>60</v>
      </c>
      <c r="C10" s="15" t="s">
        <v>61</v>
      </c>
      <c r="D10" s="15" t="s">
        <v>57</v>
      </c>
      <c r="E10" s="16">
        <v>3.0</v>
      </c>
      <c r="F10" s="17" t="s">
        <v>62</v>
      </c>
      <c r="G10" s="15" t="s">
        <v>63</v>
      </c>
      <c r="H10" s="15" t="s">
        <v>51</v>
      </c>
    </row>
    <row r="11" ht="42.0" customHeight="1">
      <c r="A11" s="18">
        <v>8.0</v>
      </c>
      <c r="B11" s="15" t="s">
        <v>64</v>
      </c>
      <c r="C11" s="19" t="s">
        <v>65</v>
      </c>
      <c r="D11" s="19" t="s">
        <v>57</v>
      </c>
      <c r="E11" s="20">
        <v>2.0</v>
      </c>
      <c r="F11" s="21" t="s">
        <v>66</v>
      </c>
      <c r="G11" s="19" t="s">
        <v>67</v>
      </c>
      <c r="H11" s="19" t="s">
        <v>36</v>
      </c>
    </row>
    <row r="12" ht="42.0" customHeight="1">
      <c r="A12" s="14">
        <v>9.0</v>
      </c>
      <c r="B12" s="15" t="s">
        <v>68</v>
      </c>
      <c r="C12" s="15" t="s">
        <v>69</v>
      </c>
      <c r="D12" s="15" t="s">
        <v>33</v>
      </c>
      <c r="E12" s="16">
        <v>3.0</v>
      </c>
      <c r="F12" s="17" t="s">
        <v>70</v>
      </c>
      <c r="G12" s="15" t="s">
        <v>71</v>
      </c>
      <c r="H12" s="15" t="s">
        <v>51</v>
      </c>
    </row>
    <row r="13" ht="42.0" customHeight="1">
      <c r="A13" s="18">
        <v>10.0</v>
      </c>
      <c r="B13" s="15" t="s">
        <v>31</v>
      </c>
      <c r="C13" s="19" t="s">
        <v>72</v>
      </c>
      <c r="D13" s="19" t="s">
        <v>73</v>
      </c>
      <c r="E13" s="20">
        <v>2.0</v>
      </c>
      <c r="F13" s="22"/>
      <c r="G13" s="19" t="s">
        <v>74</v>
      </c>
      <c r="H13" s="22"/>
    </row>
    <row r="14" ht="42.0" customHeight="1">
      <c r="A14" s="14">
        <v>11.0</v>
      </c>
      <c r="B14" s="15" t="s">
        <v>31</v>
      </c>
      <c r="C14" s="15" t="s">
        <v>75</v>
      </c>
      <c r="D14" s="15" t="s">
        <v>73</v>
      </c>
      <c r="E14" s="16">
        <v>1.0</v>
      </c>
      <c r="F14" s="23"/>
      <c r="G14" s="15" t="s">
        <v>76</v>
      </c>
      <c r="H14" s="2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2">
    <mergeCell ref="A1:H1"/>
    <mergeCell ref="A2:H2"/>
  </mergeCells>
  <conditionalFormatting sqref="E4:E14">
    <cfRule type="cellIs" dxfId="0" priority="1" operator="equal">
      <formula>0</formula>
    </cfRule>
  </conditionalFormatting>
  <conditionalFormatting sqref="E4:E14">
    <cfRule type="cellIs" dxfId="1" priority="2" operator="equal">
      <formula>1</formula>
    </cfRule>
  </conditionalFormatting>
  <conditionalFormatting sqref="E4:E14">
    <cfRule type="cellIs" dxfId="2" priority="3" operator="equal">
      <formula>2</formula>
    </cfRule>
  </conditionalFormatting>
  <conditionalFormatting sqref="E4:E14">
    <cfRule type="cellIs" dxfId="3" priority="4" operator="equal">
      <formula>3</formula>
    </cfRule>
  </conditionalFormatting>
  <conditionalFormatting sqref="E4:E14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4:B14">
      <formula1>Resumen!$B$13:$B$22</formula1>
    </dataValidation>
    <dataValidation type="decimal" allowBlank="1" showInputMessage="1" showErrorMessage="1" prompt="Escala de severidad - 0=No problema  1=Cosmético  2=Menor  3=Mayor  4=Catastrófico" sqref="E4:E14">
      <formula1>0.0</formula1>
      <formula2>4.0</formula2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</hyperlinks>
  <printOptions/>
  <pageMargins bottom="1.0" footer="0.0" header="0.0" left="0.75" right="0.75" top="1.0"/>
  <pageSetup orientation="landscape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9.57"/>
    <col customWidth="1" min="3" max="5" width="14.0"/>
    <col customWidth="1" min="6" max="6" width="18.0"/>
    <col customWidth="1" min="7" max="7" width="20.0"/>
    <col customWidth="1" min="8" max="26" width="8.71"/>
  </cols>
  <sheetData>
    <row r="1" ht="31.5" customHeight="1">
      <c r="B1" s="11" t="s">
        <v>77</v>
      </c>
      <c r="C1" s="2"/>
      <c r="D1" s="2"/>
      <c r="E1" s="2"/>
      <c r="F1" s="2"/>
      <c r="G1" s="3"/>
    </row>
    <row r="2" ht="15.75" customHeight="1">
      <c r="B2" s="12" t="s">
        <v>78</v>
      </c>
      <c r="C2" s="2"/>
      <c r="D2" s="2"/>
      <c r="E2" s="2"/>
      <c r="F2" s="2"/>
      <c r="G2" s="3"/>
    </row>
    <row r="3" ht="14.25" customHeight="1"/>
    <row r="4" ht="18.0" customHeight="1">
      <c r="B4" s="24" t="s">
        <v>79</v>
      </c>
      <c r="C4" s="2"/>
      <c r="D4" s="2"/>
      <c r="E4" s="2"/>
      <c r="F4" s="2"/>
      <c r="G4" s="3"/>
    </row>
    <row r="5" ht="21.75" customHeight="1">
      <c r="B5" s="25" t="s">
        <v>80</v>
      </c>
      <c r="C5" s="26">
        <f>COUNTA(Evaluacion!C4:C14)</f>
        <v>11</v>
      </c>
      <c r="D5" s="7"/>
    </row>
    <row r="6" ht="21.75" customHeight="1">
      <c r="B6" s="25" t="s">
        <v>81</v>
      </c>
      <c r="C6" s="27">
        <f>IFERROR(AVERAGE(Evaluacion!E4:E14),0)</f>
        <v>2.545454545</v>
      </c>
      <c r="D6" s="7"/>
    </row>
    <row r="7" ht="21.75" customHeight="1">
      <c r="B7" s="25" t="s">
        <v>82</v>
      </c>
      <c r="C7" s="26">
        <f>COUNTIF(Evaluacion!E4:E14,4)</f>
        <v>1</v>
      </c>
      <c r="D7" s="7"/>
    </row>
    <row r="8" ht="21.75" customHeight="1">
      <c r="B8" s="25" t="s">
        <v>83</v>
      </c>
      <c r="C8" s="26">
        <f>COUNTIF(Evaluacion!E4:E14,3)</f>
        <v>5</v>
      </c>
      <c r="D8" s="7"/>
    </row>
    <row r="9" ht="21.75" customHeight="1">
      <c r="B9" s="25" t="s">
        <v>84</v>
      </c>
      <c r="C9" s="26">
        <f>COUNTIFS(Evaluacion!E4:E14,"&gt;=1",Evaluacion!E4:E14,"&lt;=2")</f>
        <v>5</v>
      </c>
      <c r="D9" s="7"/>
    </row>
    <row r="10" ht="14.25" customHeight="1"/>
    <row r="11" ht="18.0" customHeight="1">
      <c r="B11" s="28" t="s">
        <v>85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86</v>
      </c>
      <c r="D12" s="13" t="s">
        <v>87</v>
      </c>
      <c r="E12" s="13" t="s">
        <v>88</v>
      </c>
      <c r="F12" s="13" t="s">
        <v>89</v>
      </c>
      <c r="G12" s="13" t="s">
        <v>90</v>
      </c>
    </row>
    <row r="13" ht="19.5" customHeight="1">
      <c r="B13" s="29" t="s">
        <v>31</v>
      </c>
      <c r="C13" s="30">
        <v>1.0</v>
      </c>
      <c r="D13" s="30">
        <v>1.0</v>
      </c>
      <c r="E13" s="31">
        <v>1.0</v>
      </c>
      <c r="F13" s="32" t="str">
        <f t="shared" ref="F13:F22" si="1">IF(C13=0,"Sin problemas",IF(D13&gt;=4,"CRITICO",IF(D13&gt;=3,"MAYOR","MENOR")))</f>
        <v>MENOR</v>
      </c>
      <c r="G13" s="32" t="str">
        <f t="shared" ref="G13:G22" si="2">IF(C13=0,"Sin problemas",IF(D13=4,"1 - Inmediata",IF(D13=3,"2 - Alta",IF(D13=2,"3 - Media","4 - Baja"))))</f>
        <v>4 - Baja</v>
      </c>
    </row>
    <row r="14" ht="19.5" customHeight="1">
      <c r="B14" s="33" t="s">
        <v>37</v>
      </c>
      <c r="C14" s="34">
        <f>COUNTIF(Evaluacion!B4:B14,"*H2*")</f>
        <v>2</v>
      </c>
      <c r="D14" s="34">
        <f>IFERROR(_xludf.MAXIFS(Evaluacion!E4:E14,Evaluacion!B4:B14,"*H2*"),0)</f>
        <v>0</v>
      </c>
      <c r="E14" s="35">
        <f>IFERROR(AVERAGEIF(Evaluacion!B4:B14,"*H2*",Evaluacion!E4:E14),0)</f>
        <v>3.5</v>
      </c>
      <c r="F14" s="36" t="str">
        <f t="shared" si="1"/>
        <v>MENOR</v>
      </c>
      <c r="G14" s="36" t="str">
        <f t="shared" si="2"/>
        <v>4 - Baja</v>
      </c>
    </row>
    <row r="15" ht="19.5" customHeight="1">
      <c r="B15" s="29" t="s">
        <v>46</v>
      </c>
      <c r="C15" s="30">
        <v>1.0</v>
      </c>
      <c r="D15" s="30">
        <v>2.0</v>
      </c>
      <c r="E15" s="31">
        <v>2.0</v>
      </c>
      <c r="F15" s="32" t="str">
        <f t="shared" si="1"/>
        <v>MENOR</v>
      </c>
      <c r="G15" s="32" t="str">
        <f t="shared" si="2"/>
        <v>3 - Media</v>
      </c>
    </row>
    <row r="16" ht="19.5" customHeight="1">
      <c r="B16" s="33" t="s">
        <v>91</v>
      </c>
      <c r="C16" s="34">
        <f>COUNTIF(Evaluacion!B4:B14,"*H4*")</f>
        <v>0</v>
      </c>
      <c r="D16" s="34">
        <f>IFERROR(_xludf.MAXIFS(Evaluacion!E4:E14,Evaluacion!B4:B14,"*H4*"),0)</f>
        <v>0</v>
      </c>
      <c r="E16" s="35">
        <f>IFERROR(AVERAGEIF(Evaluacion!B4:B14,"*H4*",Evaluacion!E4:E14),0)</f>
        <v>0</v>
      </c>
      <c r="F16" s="36" t="str">
        <f t="shared" si="1"/>
        <v>Sin problemas</v>
      </c>
      <c r="G16" s="36" t="str">
        <f t="shared" si="2"/>
        <v>Sin problemas</v>
      </c>
    </row>
    <row r="17" ht="19.5" customHeight="1">
      <c r="B17" s="29" t="s">
        <v>60</v>
      </c>
      <c r="C17" s="30">
        <v>1.0</v>
      </c>
      <c r="D17" s="30">
        <v>2.0</v>
      </c>
      <c r="E17" s="31">
        <v>2.0</v>
      </c>
      <c r="F17" s="32" t="str">
        <f t="shared" si="1"/>
        <v>MENOR</v>
      </c>
      <c r="G17" s="32" t="str">
        <f t="shared" si="2"/>
        <v>3 - Media</v>
      </c>
    </row>
    <row r="18" ht="19.5" customHeight="1">
      <c r="B18" s="33" t="s">
        <v>64</v>
      </c>
      <c r="C18" s="34">
        <f>COUNTIF(Evaluacion!B4:B14,"*H6*")</f>
        <v>1</v>
      </c>
      <c r="D18" s="34">
        <f>IFERROR(_xludf.MAXIFS(Evaluacion!E4:E14,Evaluacion!B4:B14,"*H6*"),0)</f>
        <v>0</v>
      </c>
      <c r="E18" s="35">
        <f>IFERROR(AVERAGEIF(Evaluacion!B4:B14,"*H6*",Evaluacion!E4:E14),0)</f>
        <v>2</v>
      </c>
      <c r="F18" s="36" t="str">
        <f t="shared" si="1"/>
        <v>MENOR</v>
      </c>
      <c r="G18" s="36" t="str">
        <f t="shared" si="2"/>
        <v>4 - Baja</v>
      </c>
    </row>
    <row r="19" ht="19.5" customHeight="1">
      <c r="B19" s="29" t="s">
        <v>68</v>
      </c>
      <c r="C19" s="37">
        <f>COUNTIF(Evaluacion!B4:B14,"*H7*")</f>
        <v>1</v>
      </c>
      <c r="D19" s="37">
        <f>IFERROR(_xludf.MAXIFS(Evaluacion!E4:E14,Evaluacion!B4:B14,"*H7*"),0)</f>
        <v>0</v>
      </c>
      <c r="E19" s="38">
        <f>IFERROR(AVERAGEIF(Evaluacion!B4:B14,"*H7*",Evaluacion!E4:E14),0)</f>
        <v>3</v>
      </c>
      <c r="F19" s="32" t="str">
        <f t="shared" si="1"/>
        <v>MENOR</v>
      </c>
      <c r="G19" s="32" t="str">
        <f t="shared" si="2"/>
        <v>4 - Baja</v>
      </c>
    </row>
    <row r="20" ht="19.5" customHeight="1">
      <c r="B20" s="33" t="s">
        <v>55</v>
      </c>
      <c r="C20" s="34">
        <f>COUNTIF(Evaluacion!B4:B14,"*H8*")</f>
        <v>1</v>
      </c>
      <c r="D20" s="34">
        <f>IFERROR(_xludf.MAXIFS(Evaluacion!E4:E14,Evaluacion!B4:B14,"*H8*"),0)</f>
        <v>0</v>
      </c>
      <c r="E20" s="35">
        <f>IFERROR(AVERAGEIF(Evaluacion!B4:B14,"*H8*",Evaluacion!E4:E14),0)</f>
        <v>3</v>
      </c>
      <c r="F20" s="36" t="str">
        <f t="shared" si="1"/>
        <v>MENOR</v>
      </c>
      <c r="G20" s="36" t="str">
        <f t="shared" si="2"/>
        <v>4 - Baja</v>
      </c>
    </row>
    <row r="21" ht="19.5" customHeight="1">
      <c r="B21" s="29" t="s">
        <v>92</v>
      </c>
      <c r="C21" s="37">
        <f>COUNTIF(Evaluacion!B4:B14,"*H9*")</f>
        <v>0</v>
      </c>
      <c r="D21" s="37">
        <f>IFERROR(_xludf.MAXIFS(Evaluacion!E4:E14,Evaluacion!B4:B14,"*H9*"),0)</f>
        <v>0</v>
      </c>
      <c r="E21" s="38">
        <f>IFERROR(AVERAGEIF(Evaluacion!B4:B14,"*H9*",Evaluacion!E4:E14),0)</f>
        <v>0</v>
      </c>
      <c r="F21" s="32" t="str">
        <f t="shared" si="1"/>
        <v>Sin problemas</v>
      </c>
      <c r="G21" s="32" t="str">
        <f t="shared" si="2"/>
        <v>Sin problemas</v>
      </c>
    </row>
    <row r="22" ht="19.5" customHeight="1">
      <c r="B22" s="33" t="s">
        <v>93</v>
      </c>
      <c r="C22" s="39">
        <v>1.0</v>
      </c>
      <c r="D22" s="39">
        <v>1.0</v>
      </c>
      <c r="E22" s="40">
        <v>1.0</v>
      </c>
      <c r="F22" s="36" t="str">
        <f t="shared" si="1"/>
        <v>MENOR</v>
      </c>
      <c r="G22" s="36" t="str">
        <f t="shared" si="2"/>
        <v>4 - Baja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71"/>
  </cols>
  <sheetData>
    <row r="1" ht="31.5" customHeight="1">
      <c r="B1" s="11" t="s">
        <v>94</v>
      </c>
      <c r="C1" s="2"/>
      <c r="D1" s="2"/>
      <c r="E1" s="2"/>
      <c r="F1" s="3"/>
    </row>
    <row r="2" ht="15.75" customHeight="1">
      <c r="B2" s="12" t="s">
        <v>95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96</v>
      </c>
      <c r="E3" s="13" t="s">
        <v>97</v>
      </c>
      <c r="F3" s="13" t="s">
        <v>98</v>
      </c>
    </row>
    <row r="4" ht="57.75" customHeight="1">
      <c r="B4" s="41" t="s">
        <v>99</v>
      </c>
      <c r="C4" s="42" t="s">
        <v>100</v>
      </c>
      <c r="D4" s="43" t="s">
        <v>101</v>
      </c>
      <c r="E4" s="43" t="s">
        <v>102</v>
      </c>
      <c r="F4" s="43" t="s">
        <v>103</v>
      </c>
    </row>
    <row r="5" ht="57.75" customHeight="1">
      <c r="B5" s="41" t="s">
        <v>104</v>
      </c>
      <c r="C5" s="42" t="s">
        <v>105</v>
      </c>
      <c r="D5" s="43" t="s">
        <v>106</v>
      </c>
      <c r="E5" s="43" t="s">
        <v>107</v>
      </c>
      <c r="F5" s="43" t="s">
        <v>108</v>
      </c>
    </row>
    <row r="6" ht="57.75" customHeight="1">
      <c r="B6" s="41" t="s">
        <v>109</v>
      </c>
      <c r="C6" s="42" t="s">
        <v>110</v>
      </c>
      <c r="D6" s="43" t="s">
        <v>111</v>
      </c>
      <c r="E6" s="43" t="s">
        <v>112</v>
      </c>
      <c r="F6" s="43" t="s">
        <v>113</v>
      </c>
    </row>
    <row r="7" ht="57.75" customHeight="1">
      <c r="B7" s="41" t="s">
        <v>114</v>
      </c>
      <c r="C7" s="42" t="s">
        <v>115</v>
      </c>
      <c r="D7" s="43" t="s">
        <v>116</v>
      </c>
      <c r="E7" s="43" t="s">
        <v>117</v>
      </c>
      <c r="F7" s="43" t="s">
        <v>118</v>
      </c>
    </row>
    <row r="8" ht="57.75" customHeight="1">
      <c r="B8" s="41" t="s">
        <v>119</v>
      </c>
      <c r="C8" s="42" t="s">
        <v>120</v>
      </c>
      <c r="D8" s="43" t="s">
        <v>121</v>
      </c>
      <c r="E8" s="43" t="s">
        <v>122</v>
      </c>
      <c r="F8" s="43" t="s">
        <v>123</v>
      </c>
    </row>
    <row r="9" ht="57.75" customHeight="1">
      <c r="B9" s="41" t="s">
        <v>124</v>
      </c>
      <c r="C9" s="42" t="s">
        <v>125</v>
      </c>
      <c r="D9" s="43" t="s">
        <v>126</v>
      </c>
      <c r="E9" s="43" t="s">
        <v>127</v>
      </c>
      <c r="F9" s="43" t="s">
        <v>128</v>
      </c>
    </row>
    <row r="10" ht="57.75" customHeight="1">
      <c r="B10" s="41" t="s">
        <v>129</v>
      </c>
      <c r="C10" s="42" t="s">
        <v>130</v>
      </c>
      <c r="D10" s="43" t="s">
        <v>131</v>
      </c>
      <c r="E10" s="43" t="s">
        <v>132</v>
      </c>
      <c r="F10" s="43" t="s">
        <v>133</v>
      </c>
    </row>
    <row r="11" ht="57.75" customHeight="1">
      <c r="B11" s="41" t="s">
        <v>134</v>
      </c>
      <c r="C11" s="42" t="s">
        <v>135</v>
      </c>
      <c r="D11" s="43" t="s">
        <v>136</v>
      </c>
      <c r="E11" s="43" t="s">
        <v>137</v>
      </c>
      <c r="F11" s="43" t="s">
        <v>138</v>
      </c>
    </row>
    <row r="12" ht="57.75" customHeight="1">
      <c r="B12" s="41" t="s">
        <v>139</v>
      </c>
      <c r="C12" s="42" t="s">
        <v>140</v>
      </c>
      <c r="D12" s="43" t="s">
        <v>141</v>
      </c>
      <c r="E12" s="43" t="s">
        <v>142</v>
      </c>
      <c r="F12" s="43" t="s">
        <v>143</v>
      </c>
    </row>
    <row r="13" ht="57.75" customHeight="1">
      <c r="B13" s="41" t="s">
        <v>144</v>
      </c>
      <c r="C13" s="42" t="s">
        <v>145</v>
      </c>
      <c r="D13" s="43" t="s">
        <v>146</v>
      </c>
      <c r="E13" s="43" t="s">
        <v>147</v>
      </c>
      <c r="F13" s="43" t="s">
        <v>148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